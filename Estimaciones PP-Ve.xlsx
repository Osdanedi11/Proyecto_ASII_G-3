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escargas\"/>
    </mc:Choice>
  </mc:AlternateContent>
  <xr:revisionPtr revIDLastSave="0" documentId="13_ncr:1_{7557E092-8732-4997-A9C6-D2F7D0E59EC4}" xr6:coauthVersionLast="47" xr6:coauthVersionMax="47" xr10:uidLastSave="{00000000-0000-0000-0000-000000000000}"/>
  <bookViews>
    <workbookView xWindow="-120" yWindow="-120" windowWidth="29040" windowHeight="15720" activeTab="2" xr2:uid="{C62347A9-36EB-47AF-9DEF-0D35E4119F7D}"/>
  </bookViews>
  <sheets>
    <sheet name="PP" sheetId="1" r:id="rId1"/>
    <sheet name="PERT" sheetId="3" r:id="rId2"/>
    <sheet name="Velocidad" sheetId="2" r:id="rId3"/>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4" i="3" l="1"/>
  <c r="C33" i="3"/>
  <c r="C32" i="3"/>
  <c r="I17" i="3"/>
  <c r="I18" i="3"/>
  <c r="I19" i="3"/>
  <c r="I20" i="3"/>
  <c r="I21" i="3"/>
  <c r="I22" i="3"/>
  <c r="I23" i="3"/>
  <c r="I24" i="3"/>
  <c r="I25" i="3"/>
  <c r="I26" i="3"/>
  <c r="I27" i="3"/>
  <c r="J27" i="3" s="1"/>
  <c r="I28" i="3"/>
  <c r="J28" i="3" s="1"/>
  <c r="H15" i="3"/>
  <c r="H16" i="3"/>
  <c r="H17" i="3"/>
  <c r="H18" i="3"/>
  <c r="H19" i="3"/>
  <c r="H20" i="3"/>
  <c r="J20" i="3" s="1"/>
  <c r="H21" i="3"/>
  <c r="H22" i="3"/>
  <c r="H23" i="3"/>
  <c r="J23" i="3" s="1"/>
  <c r="H24" i="3"/>
  <c r="J24" i="3" s="1"/>
  <c r="H25" i="3"/>
  <c r="J25" i="3" s="1"/>
  <c r="H26" i="3"/>
  <c r="J26" i="3" s="1"/>
  <c r="H27" i="3"/>
  <c r="H28" i="3"/>
  <c r="G15" i="3"/>
  <c r="G16" i="3"/>
  <c r="G17" i="3"/>
  <c r="G18" i="3"/>
  <c r="G19" i="3"/>
  <c r="G20" i="3"/>
  <c r="G21" i="3"/>
  <c r="G22" i="3"/>
  <c r="G23" i="3"/>
  <c r="G24" i="3"/>
  <c r="G25" i="3"/>
  <c r="G26" i="3"/>
  <c r="G27" i="3"/>
  <c r="G28" i="3"/>
  <c r="F29" i="3"/>
  <c r="E29" i="3"/>
  <c r="D29" i="3"/>
  <c r="J22" i="3"/>
  <c r="J21" i="3"/>
  <c r="J18" i="3"/>
  <c r="J17" i="3"/>
  <c r="I16" i="3"/>
  <c r="J16" i="3"/>
  <c r="I15" i="3"/>
  <c r="J15" i="3"/>
  <c r="I14" i="3"/>
  <c r="H14" i="3"/>
  <c r="G14" i="3"/>
  <c r="I29" i="3" l="1"/>
  <c r="J19" i="3"/>
  <c r="H29" i="3"/>
  <c r="J14" i="3"/>
  <c r="G42" i="1" l="1"/>
  <c r="C10" i="2"/>
</calcChain>
</file>

<file path=xl/sharedStrings.xml><?xml version="1.0" encoding="utf-8"?>
<sst xmlns="http://schemas.openxmlformats.org/spreadsheetml/2006/main" count="260" uniqueCount="154">
  <si>
    <t>Código</t>
  </si>
  <si>
    <t>Módulo</t>
  </si>
  <si>
    <t>Historia de Usuario</t>
  </si>
  <si>
    <t>HU-01</t>
  </si>
  <si>
    <t>Autenticación</t>
  </si>
  <si>
    <t>Como estudiante, quiero registrarme en la plataforma, para poder participar en proyectos académicos colaborativos.</t>
  </si>
  <si>
    <t>HU-02</t>
  </si>
  <si>
    <t>Como estudiante, quiero iniciar sesión en la plataforma, para acceder a mis proyectos y tareas asignadas.</t>
  </si>
  <si>
    <t>HU-03</t>
  </si>
  <si>
    <t>Proyectos</t>
  </si>
  <si>
    <t>Como estudiante, quiero crear un proyecto de equipo, para organizar el trabajo académico de mi grupo.</t>
  </si>
  <si>
    <t>HU-04</t>
  </si>
  <si>
    <t>Tareas</t>
  </si>
  <si>
    <t>Como líder de equipo, quiero asignar tareas a los miembros del proyecto, para distribuir el trabajo del equipo.</t>
  </si>
  <si>
    <t>HU-05</t>
  </si>
  <si>
    <t>Como estudiante, quiero visualizar las tareas asignadas, para conocer mis responsabilidades dentro del proyecto.</t>
  </si>
  <si>
    <t>HU-06</t>
  </si>
  <si>
    <t>Como miembro del equipo, quiero actualizar el estado de una tarea, para reflejar el progreso del trabajo realizado.</t>
  </si>
  <si>
    <t>HU-07</t>
  </si>
  <si>
    <t>Como líder de equipo, quiero visualizar el progreso general del proyecto, para monitorear el avance del equipo.</t>
  </si>
  <si>
    <t>HU-08</t>
  </si>
  <si>
    <t>Comunicación</t>
  </si>
  <si>
    <t>Como estudiante, quiero comentar en las tareas del proyecto, para facilitar la comunicación entre los miembros del equipo.</t>
  </si>
  <si>
    <t>HU-09</t>
  </si>
  <si>
    <t>Cronograma</t>
  </si>
  <si>
    <t>Como líder de equipo, quiero definir un cronograma del proyecto, para organizar las actividades y fechas importantes.</t>
  </si>
  <si>
    <t>HU-10</t>
  </si>
  <si>
    <t>Seguimiento</t>
  </si>
  <si>
    <t>Como profesor, quiero visualizar los proyectos creados por los estudiantes, para dar seguimiento al trabajo académico.</t>
  </si>
  <si>
    <t>HU-11</t>
  </si>
  <si>
    <t>Evaluación</t>
  </si>
  <si>
    <t>Como profesor, quiero evaluar el desempeño del equipo, para calificar el trabajo realizado.</t>
  </si>
  <si>
    <t>HU-12</t>
  </si>
  <si>
    <t>Notificaciones</t>
  </si>
  <si>
    <t>Como estudiante, quiero recibir notificaciones del sistema, para conocer cambios o actualizaciones en el proyecto.</t>
  </si>
  <si>
    <t>HU-13</t>
  </si>
  <si>
    <t>Administración</t>
  </si>
  <si>
    <t>Como administrador, quiero gestionar usuarios de la plataforma, para mantener el control de acceso al sistema.</t>
  </si>
  <si>
    <t>HU-14</t>
  </si>
  <si>
    <t>Como administrador, quiero gestionar proyectos del sistema, para mantener la integridad de la información.</t>
  </si>
  <si>
    <t>HU-15</t>
  </si>
  <si>
    <t>Auditoría</t>
  </si>
  <si>
    <t>Como auditor del sistema, quiero registrar las acciones importantes de los usuarios, para mantener trazabilidad y control del sistema.</t>
  </si>
  <si>
    <t>2. Debatir diferencias de voto</t>
  </si>
  <si>
    <t>Para la estimación de las historias de usuario se utilizó la técnica de Planning Poker con escala Fibonacci. Cada integrante del equipo asignó un valor según su percepción de esfuerzo, complejidad, riesgo e incertidumbre. Luego se debatieron las diferencias de voto y se llegó a un consenso para cada historia. El valor consensuado no representa horas exactas, sino el esfuerzo relativo de cada funcionalidad dentro del sistema.</t>
  </si>
  <si>
    <t>PO</t>
  </si>
  <si>
    <t>Scrum
Master</t>
  </si>
  <si>
    <t>Dev 1</t>
  </si>
  <si>
    <t>Dev 2</t>
  </si>
  <si>
    <t>Consenso</t>
  </si>
  <si>
    <t>Justificación del consenso</t>
  </si>
  <si>
    <t>Se acordó 3 puntos porque el registro es una funcionalidad conocida y común. El Dev 1 propuso 5 por validaciones adicionales, pero el equipo consideró que el alcance básico mantiene complejidad baja-media.</t>
  </si>
  <si>
    <t>Se acordó 5 puntos porque visualizar tareas implica filtros, estados y fechas de entrega. Aunque es una vista, requiere lógica de consulta y marcado de completado, lo que eleva su complejidad.</t>
  </si>
  <si>
    <t>Se acordó 8 puntos porque gestionar proyectos como administrador requiere visualizar todos los proyectos, permitir modificaciones y mantener historial completo de acciones administrativas.</t>
  </si>
  <si>
    <t>Se llego a un consenso de  3 puntos porque el inicio de sesión incluye validación de credenciales y recuperación de contraseña. La funcionalidad es estándar pero requiere manejo de errores y redirección.</t>
  </si>
  <si>
    <t>El equipo acordo 5 puntos porque crear un proyecto implica registrar nombre, descripción, agregar miembros y persistir datos. Es una funcionalidad central con lógica media de relaciones entre entidades.</t>
  </si>
  <si>
    <t>Se definio 8 puntos porque asignar tareas requiere relacionar usuarios, proyectos y fechas límite. Implica validaciones, estados y lógica de distribución de trabajo entre miembros.</t>
  </si>
  <si>
    <t>Se definio 5 puntos porque actualizar el estado de una tarea requiere registrar historial de cambios, fecha de actualización y recalcular el progreso del proyecto automáticamente.</t>
  </si>
  <si>
    <t>El equipo estimo 8 puntos porque el progreso del proyecto implica calcular porcentajes, filtrar tareas por estado y actualizar automáticamente. El Dev 1 propuso 5, pero el equipo consideró la complejidad de los cálculos dinámicos.</t>
  </si>
  <si>
    <t>Se llego a un consenso 5 puntos porque los comentarios deben registrar autor, fecha, asociarse a tareas y mantener historial. Aunque parece simple, requiere estructura de datos adecuada y visualización en contexto.</t>
  </si>
  <si>
    <t>Se tomo la decision de  8 puntos porque definir un cronograma implica un calendario interactivo, fechas clave, modificaciones con historial de cambios. Es una funcionalidad visualmente compleja.</t>
  </si>
  <si>
    <t>Se definio que 5 puntos porque el profesor necesita ver lista de proyectos con integrantes y progreso. Requiere consultas cruzadas entre usuarios, proyectos y tareas, lo que eleva la complejidad.</t>
  </si>
  <si>
    <t>El equipo acordó 8 puntos porque evaluar el desempeño implica asignar calificaciones, agregar comentarios evaluativos, registrar fecha y guardar resultados vinculados a proyectos y equipos.</t>
  </si>
  <si>
    <t>Se analizo que 5 puntos porque las notificaciones deben generarse por múltiples eventos (nuevas tareas, cambios de fecha), mostrarse en el sistema y permitir marcarlas como leídas.</t>
  </si>
  <si>
    <t>Se decidio 8 puntos porque gestionar usuarios implica creación, modificación de roles, activación/desactivación de cuentas y registro de cambios administrativos con auditoría.</t>
  </si>
  <si>
    <t>el equipo decidio 8 puntos porque la bitácora debe registrar usuario, acción, fecha y módulo afectado. No permite eliminar registros y debe ser consultable. Es crítica para la seguridad del sistema.</t>
  </si>
  <si>
    <t xml:space="preserve">Velocidad </t>
  </si>
  <si>
    <t>concepto</t>
  </si>
  <si>
    <t>calculos</t>
  </si>
  <si>
    <t>story point</t>
  </si>
  <si>
    <t>duración del proyecto</t>
  </si>
  <si>
    <t>10 semanas</t>
  </si>
  <si>
    <t>duración de sprint</t>
  </si>
  <si>
    <t>2 semanas (se saca por la duración de proyecto)</t>
  </si>
  <si>
    <t>cantidad de sprint</t>
  </si>
  <si>
    <t>velocidad</t>
  </si>
  <si>
    <t xml:space="preserve">Sprint backlog </t>
  </si>
  <si>
    <t>Historia</t>
  </si>
  <si>
    <t>SP</t>
  </si>
  <si>
    <t>Horas (PERT)</t>
  </si>
  <si>
    <t>Registrarse en la plataforma</t>
  </si>
  <si>
    <t>6.33 h</t>
  </si>
  <si>
    <t>Iniciar sesión en la plataforma</t>
  </si>
  <si>
    <t>Crear un proyecto de equipo</t>
  </si>
  <si>
    <t>Recibir notificaciones del sistema</t>
  </si>
  <si>
    <t>Total Sprint 1</t>
  </si>
  <si>
    <t>Asignar tareas a miembros del proyecto</t>
  </si>
  <si>
    <t>Visualizar tareas asignadas</t>
  </si>
  <si>
    <t>13.33 h</t>
  </si>
  <si>
    <t>Total Sprint 2</t>
  </si>
  <si>
    <t>18 SP</t>
  </si>
  <si>
    <t>Visualizar progreso general del proyecto</t>
  </si>
  <si>
    <t>Comentar en tareas del proyecto</t>
  </si>
  <si>
    <t>11.33 h</t>
  </si>
  <si>
    <t>Definir cronograma del proyecto</t>
  </si>
  <si>
    <t>Total Sprint 3</t>
  </si>
  <si>
    <t>Visualizar proyectos (Profesor)</t>
  </si>
  <si>
    <t>12.33 h</t>
  </si>
  <si>
    <t>Evaluar desempeño del equipo</t>
  </si>
  <si>
    <t>Total Sprint 4</t>
  </si>
  <si>
    <t>20.67 h</t>
  </si>
  <si>
    <t>Registrar acciones de auditoría</t>
  </si>
  <si>
    <t>Total Sprint 5</t>
  </si>
  <si>
    <t xml:space="preserve">1. Estimar 15 historias de Usuario </t>
  </si>
  <si>
    <t>Estimacion PERT</t>
  </si>
  <si>
    <t>Variable</t>
  </si>
  <si>
    <t>Significado</t>
  </si>
  <si>
    <t>O</t>
  </si>
  <si>
    <t>Tiempo optimista</t>
  </si>
  <si>
    <t>M</t>
  </si>
  <si>
    <t>Tiempo más probable</t>
  </si>
  <si>
    <t>P</t>
  </si>
  <si>
    <t>Tiempo pesimista</t>
  </si>
  <si>
    <t>E</t>
  </si>
  <si>
    <t>Tiempo esperado</t>
  </si>
  <si>
    <t>DS</t>
  </si>
  <si>
    <t>Desviación estándar o margen de riesgo</t>
  </si>
  <si>
    <t>E = (O + 4M + P) / 6</t>
  </si>
  <si>
    <t>DS = (P - O) / 6</t>
  </si>
  <si>
    <t>Historia / tarea</t>
  </si>
  <si>
    <t>Total</t>
  </si>
  <si>
    <t>Tiempo</t>
  </si>
  <si>
    <t>Unidad</t>
  </si>
  <si>
    <t>Total estimado:</t>
  </si>
  <si>
    <t>horas</t>
  </si>
  <si>
    <t>Semanas Laborales:</t>
  </si>
  <si>
    <t>semanas</t>
  </si>
  <si>
    <t>Fórmula PERT</t>
  </si>
  <si>
    <t>Rango de Riesgo</t>
  </si>
  <si>
    <t>Asignar tareas a miembros</t>
  </si>
  <si>
    <t>Actualizar estado de una tarea</t>
  </si>
  <si>
    <t>Visualizar progreso del proyecto</t>
  </si>
  <si>
    <t>Gestionar usuarios (Admin)</t>
  </si>
  <si>
    <t>Gestionar proyectos (Admin)</t>
  </si>
  <si>
    <t>Cálculo</t>
  </si>
  <si>
    <t>Días laborales:</t>
  </si>
  <si>
    <t>días</t>
  </si>
  <si>
    <t>23.00 h</t>
  </si>
  <si>
    <t>22.67 h</t>
  </si>
  <si>
    <t>21.67 h</t>
  </si>
  <si>
    <t>23.67 h</t>
  </si>
  <si>
    <t>5.33 h</t>
  </si>
  <si>
    <t>14.33 h</t>
  </si>
  <si>
    <t>19 SP</t>
  </si>
  <si>
    <t>48.99 h</t>
  </si>
  <si>
    <t>48.33 h</t>
  </si>
  <si>
    <t>44.33 h</t>
  </si>
  <si>
    <t>Gestionar usuarios de la plataforma (Admin)</t>
  </si>
  <si>
    <t>Gestionar proyectos del sistema (Admin)</t>
  </si>
  <si>
    <t>24 SP</t>
  </si>
  <si>
    <t>66.01 h</t>
  </si>
  <si>
    <t>13 SP</t>
  </si>
  <si>
    <t>35.00 h</t>
  </si>
  <si>
    <t>velocidad = 92 / 5 = 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</si>
</sst>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0"/>
      <color rgb="FFFFFFFF"/>
      <name val="Arial"/>
      <charset val="1"/>
    </font>
    <font>
      <sz val="9"/>
      <name val="Arial"/>
      <charset val="1"/>
    </font>
    <font>
      <b/>
      <sz val="10"/>
      <color rgb="FFFFFFFF"/>
      <name val="Arial"/>
      <family val="2"/>
    </font>
    <font>
      <sz val="9"/>
      <name val="Arial"/>
      <family val="2"/>
    </font>
    <font>
      <b/>
      <sz val="11"/>
      <color rgb="FF1F5C8B"/>
      <name val="Arial"/>
      <family val="2"/>
    </font>
    <font>
      <b/>
      <sz val="9"/>
      <name val="Arial"/>
      <family val="2"/>
    </font>
    <font>
      <b/>
      <sz val="9"/>
      <color rgb="FFFFFFFF"/>
      <name val="Arial"/>
      <family val="2"/>
    </font>
    <font>
      <i/>
      <sz val="8"/>
      <color rgb="FF444444"/>
      <name val="Arial"/>
      <family val="2"/>
    </font>
  </fonts>
  <fills count="14">
    <fill>
      <patternFill patternType="none"/>
    </fill>
    <fill>
      <patternFill patternType="gray125"/>
    </fill>
    <fill>
      <patternFill patternType="solid">
        <fgColor rgb="FF1F5C8B"/>
        <bgColor rgb="FF008080"/>
      </patternFill>
    </fill>
    <fill>
      <patternFill patternType="solid">
        <fgColor rgb="FFD6E4F0"/>
        <bgColor rgb="FFEBF3FB"/>
      </patternFill>
    </fill>
    <fill>
      <patternFill patternType="solid">
        <fgColor rgb="FFFFFFFF"/>
        <bgColor rgb="FFEBF3FB"/>
      </patternFill>
    </fill>
    <fill>
      <patternFill patternType="solid">
        <fgColor theme="3" tint="0.89999084444715716"/>
        <bgColor indexed="64"/>
      </patternFill>
    </fill>
    <fill>
      <patternFill patternType="solid">
        <fgColor rgb="FFD6E4F0"/>
        <bgColor rgb="FFBDD7EE"/>
      </patternFill>
    </fill>
    <fill>
      <patternFill patternType="solid">
        <fgColor rgb="FFFFFFFF"/>
        <bgColor rgb="FFFFFFCC"/>
      </patternFill>
    </fill>
    <fill>
      <patternFill patternType="solid">
        <fgColor rgb="FFBDD7EE"/>
        <bgColor rgb="FFD6E4F0"/>
      </patternFill>
    </fill>
    <fill>
      <patternFill patternType="solid">
        <fgColor rgb="FF1F5C8B"/>
        <bgColor rgb="FF2E75B6"/>
      </patternFill>
    </fill>
    <fill>
      <patternFill patternType="solid">
        <fgColor rgb="FFD6E4F0"/>
        <bgColor rgb="FFCCFFFF"/>
      </patternFill>
    </fill>
    <fill>
      <patternFill patternType="solid">
        <fgColor theme="0"/>
        <bgColor rgb="FFCCFFFF"/>
      </patternFill>
    </fill>
    <fill>
      <patternFill patternType="solid">
        <fgColor rgb="FF2E75B6"/>
        <bgColor rgb="FF1F5C8B"/>
      </patternFill>
    </fill>
    <fill>
      <patternFill patternType="solid">
        <fgColor theme="0"/>
        <bgColor rgb="FFFFFFFF"/>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1">
    <xf numFmtId="0" fontId="0" fillId="0" borderId="0" xfId="0"/>
    <xf numFmtId="0" fontId="0" fillId="0" borderId="0" xfId="0" applyAlignment="1">
      <alignment horizont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0" fillId="5" borderId="0" xfId="0" applyFill="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0" borderId="0" xfId="0" applyFont="1"/>
    <xf numFmtId="0" fontId="4" fillId="2"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6" borderId="1" xfId="0" applyNumberFormat="1" applyFont="1" applyFill="1" applyBorder="1" applyAlignment="1">
      <alignment horizontal="left" vertical="center" wrapText="1"/>
    </xf>
    <xf numFmtId="0" fontId="5" fillId="7" borderId="1" xfId="0" applyNumberFormat="1" applyFont="1" applyFill="1" applyBorder="1" applyAlignment="1">
      <alignment horizontal="left" vertical="center" wrapText="1"/>
    </xf>
    <xf numFmtId="0" fontId="5" fillId="7"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1" fillId="0" borderId="0" xfId="0" applyFont="1" applyAlignment="1">
      <alignment horizontal="left"/>
    </xf>
    <xf numFmtId="0" fontId="1" fillId="0" borderId="0" xfId="0" applyFont="1" applyAlignment="1">
      <alignment horizontal="center" vertical="center"/>
    </xf>
    <xf numFmtId="0" fontId="0" fillId="0" borderId="0" xfId="0" applyAlignment="1">
      <alignment horizontal="center" vertical="center"/>
    </xf>
    <xf numFmtId="0" fontId="4"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0" fillId="0" borderId="3" xfId="0" applyFont="1" applyBorder="1" applyAlignment="1">
      <alignment horizontal="center" vertical="center"/>
    </xf>
    <xf numFmtId="2" fontId="7" fillId="10" borderId="1" xfId="0" applyNumberFormat="1" applyFont="1" applyFill="1" applyBorder="1" applyAlignment="1">
      <alignment horizontal="center" vertical="center" wrapText="1"/>
    </xf>
    <xf numFmtId="2" fontId="5" fillId="10" borderId="1" xfId="0" applyNumberFormat="1" applyFont="1" applyFill="1" applyBorder="1" applyAlignment="1">
      <alignment horizontal="center" vertical="center" wrapText="1"/>
    </xf>
    <xf numFmtId="2" fontId="5" fillId="11" borderId="1" xfId="0" applyNumberFormat="1" applyFont="1" applyFill="1" applyBorder="1" applyAlignment="1">
      <alignment horizontal="center" vertical="center" wrapText="1"/>
    </xf>
    <xf numFmtId="2" fontId="4" fillId="9" borderId="1" xfId="0" applyNumberFormat="1" applyFont="1" applyFill="1" applyBorder="1" applyAlignment="1">
      <alignment horizontal="center" vertical="center" wrapText="1"/>
    </xf>
    <xf numFmtId="0" fontId="8" fillId="12" borderId="1" xfId="0" applyFont="1" applyFill="1" applyBorder="1" applyAlignment="1">
      <alignment horizontal="left" vertical="center" wrapText="1"/>
    </xf>
    <xf numFmtId="0" fontId="8" fillId="12" borderId="1" xfId="0" applyFont="1" applyFill="1" applyBorder="1" applyAlignment="1">
      <alignment horizontal="center" vertical="center" wrapText="1"/>
    </xf>
    <xf numFmtId="2" fontId="8" fillId="12" borderId="1" xfId="0" applyNumberFormat="1" applyFont="1" applyFill="1" applyBorder="1" applyAlignment="1">
      <alignment horizontal="center" vertical="center" wrapText="1"/>
    </xf>
    <xf numFmtId="2" fontId="7" fillId="11" borderId="1" xfId="0" applyNumberFormat="1" applyFont="1" applyFill="1" applyBorder="1" applyAlignment="1">
      <alignment horizontal="center" vertical="center" wrapText="1"/>
    </xf>
    <xf numFmtId="0" fontId="9" fillId="13" borderId="1" xfId="0" applyFont="1" applyFill="1" applyBorder="1" applyAlignment="1">
      <alignment vertical="center" wrapText="1"/>
    </xf>
  </cellXfs>
  <cellStyles count="1">
    <cellStyle name="Normal" xfId="0" builtinId="0"/>
  </cellStyles>
  <dxfs count="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rgb="FF008080"/>
          <bgColor rgb="FF1F5C8B"/>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border outline="0">
        <bottom style="thin">
          <color rgb="FFAAAAAA"/>
        </bottom>
      </border>
    </dxf>
    <dxf>
      <border outline="0">
        <top style="thin">
          <color rgb="FFAAAAAA"/>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E89E36-E79E-4244-A122-3D6F966C980A}" name="Tabla1" displayName="Tabla1" ref="A26:H43" totalsRowCount="1" headerRowDxfId="4" headerRowBorderDxfId="5" tableBorderDxfId="6">
  <autoFilter ref="A26:H42" xr:uid="{7DE89E36-E79E-4244-A122-3D6F966C980A}"/>
  <tableColumns count="8">
    <tableColumn id="1" xr3:uid="{59F39BC8-9116-4880-9999-D0D342ED695B}" name="Código"/>
    <tableColumn id="2" xr3:uid="{858855D7-F60A-496B-BAAA-F2B252791B89}" name="Módulo"/>
    <tableColumn id="3" xr3:uid="{CD6B7668-7176-4335-8ECE-70A373F7421B}" name="PO"/>
    <tableColumn id="4" xr3:uid="{C4589824-841E-488D-A15F-2593819BA63A}" name="Scrum_x000a_Master"/>
    <tableColumn id="5" xr3:uid="{24C1615B-5559-439B-BB86-52221B21B760}" name="Dev 1"/>
    <tableColumn id="6" xr3:uid="{D1AE7C45-1F3F-4879-9EA8-C100BCCDB57C}" name="Dev 2"/>
    <tableColumn id="7" xr3:uid="{90501129-214E-4C6E-8046-B3879E695E69}" name="Consenso"/>
    <tableColumn id="8" xr3:uid="{6E3A1250-7765-419B-B564-FEE8BAABBE25}" name="Justificación del consens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0D8ACE-68F7-4049-9AD1-6CA39DB9F365}" name="Table6" displayName="Table6" ref="B3:C8" totalsRowShown="0" headerRowDxfId="3" dataDxfId="2">
  <autoFilter ref="B3:C8" xr:uid="{B50D8ACE-68F7-4049-9AD1-6CA39DB9F365}"/>
  <tableColumns count="2">
    <tableColumn id="1" xr3:uid="{41A73B4D-24CB-4E23-BAEB-09B177762DF3}" name="Variable" dataDxfId="1"/>
    <tableColumn id="2" xr3:uid="{17ADF6DC-4C45-4471-93BA-75B3C6E9B4C7}" name="Significad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8E9E-9C1F-4D86-9ABB-EEA7D08C8619}">
  <dimension ref="A1:H42"/>
  <sheetViews>
    <sheetView topLeftCell="A24" zoomScale="90" zoomScaleNormal="90" workbookViewId="0">
      <selection activeCell="K41" sqref="K41"/>
    </sheetView>
  </sheetViews>
  <sheetFormatPr baseColWidth="10" defaultRowHeight="15" x14ac:dyDescent="0.25"/>
  <cols>
    <col min="2" max="2" width="14.140625" customWidth="1"/>
    <col min="5" max="5" width="17" customWidth="1"/>
    <col min="6" max="6" width="12.5703125" customWidth="1"/>
    <col min="7" max="7" width="14.42578125" customWidth="1"/>
    <col min="8" max="8" width="94.28515625" bestFit="1" customWidth="1"/>
  </cols>
  <sheetData>
    <row r="1" spans="1:8" x14ac:dyDescent="0.25">
      <c r="A1" s="26" t="s">
        <v>103</v>
      </c>
      <c r="B1" s="26"/>
      <c r="C1" s="26"/>
      <c r="D1" s="26"/>
      <c r="E1" s="26"/>
    </row>
    <row r="3" spans="1:8" x14ac:dyDescent="0.25">
      <c r="F3" s="2" t="s">
        <v>0</v>
      </c>
      <c r="G3" s="2" t="s">
        <v>1</v>
      </c>
      <c r="H3" s="2" t="s">
        <v>2</v>
      </c>
    </row>
    <row r="4" spans="1:8" ht="30" customHeight="1" x14ac:dyDescent="0.25">
      <c r="F4" s="3" t="s">
        <v>3</v>
      </c>
      <c r="G4" s="3" t="s">
        <v>4</v>
      </c>
      <c r="H4" s="4" t="s">
        <v>5</v>
      </c>
    </row>
    <row r="5" spans="1:8" ht="30" customHeight="1" x14ac:dyDescent="0.25">
      <c r="F5" s="5" t="s">
        <v>6</v>
      </c>
      <c r="G5" s="5" t="s">
        <v>4</v>
      </c>
      <c r="H5" s="6" t="s">
        <v>7</v>
      </c>
    </row>
    <row r="6" spans="1:8" ht="28.5" customHeight="1" x14ac:dyDescent="0.25">
      <c r="F6" s="3" t="s">
        <v>8</v>
      </c>
      <c r="G6" s="3" t="s">
        <v>9</v>
      </c>
      <c r="H6" s="4" t="s">
        <v>10</v>
      </c>
    </row>
    <row r="7" spans="1:8" ht="30" customHeight="1" x14ac:dyDescent="0.25">
      <c r="F7" s="5" t="s">
        <v>11</v>
      </c>
      <c r="G7" s="5" t="s">
        <v>12</v>
      </c>
      <c r="H7" s="6" t="s">
        <v>13</v>
      </c>
    </row>
    <row r="8" spans="1:8" ht="30" customHeight="1" x14ac:dyDescent="0.25">
      <c r="F8" s="3" t="s">
        <v>14</v>
      </c>
      <c r="G8" s="3" t="s">
        <v>12</v>
      </c>
      <c r="H8" s="4" t="s">
        <v>15</v>
      </c>
    </row>
    <row r="9" spans="1:8" ht="30" customHeight="1" x14ac:dyDescent="0.25">
      <c r="F9" s="5" t="s">
        <v>16</v>
      </c>
      <c r="G9" s="5" t="s">
        <v>12</v>
      </c>
      <c r="H9" s="6" t="s">
        <v>17</v>
      </c>
    </row>
    <row r="10" spans="1:8" ht="30" customHeight="1" x14ac:dyDescent="0.25">
      <c r="F10" s="3" t="s">
        <v>18</v>
      </c>
      <c r="G10" s="3" t="s">
        <v>9</v>
      </c>
      <c r="H10" s="4" t="s">
        <v>19</v>
      </c>
    </row>
    <row r="11" spans="1:8" ht="30" customHeight="1" x14ac:dyDescent="0.25">
      <c r="F11" s="5" t="s">
        <v>20</v>
      </c>
      <c r="G11" s="5" t="s">
        <v>21</v>
      </c>
      <c r="H11" s="6" t="s">
        <v>22</v>
      </c>
    </row>
    <row r="12" spans="1:8" ht="30" customHeight="1" x14ac:dyDescent="0.25">
      <c r="F12" s="3" t="s">
        <v>23</v>
      </c>
      <c r="G12" s="3" t="s">
        <v>24</v>
      </c>
      <c r="H12" s="4" t="s">
        <v>25</v>
      </c>
    </row>
    <row r="13" spans="1:8" ht="30" customHeight="1" x14ac:dyDescent="0.25">
      <c r="F13" s="5" t="s">
        <v>26</v>
      </c>
      <c r="G13" s="5" t="s">
        <v>27</v>
      </c>
      <c r="H13" s="6" t="s">
        <v>28</v>
      </c>
    </row>
    <row r="14" spans="1:8" ht="30" customHeight="1" x14ac:dyDescent="0.25">
      <c r="F14" s="3" t="s">
        <v>29</v>
      </c>
      <c r="G14" s="3" t="s">
        <v>30</v>
      </c>
      <c r="H14" s="4" t="s">
        <v>31</v>
      </c>
    </row>
    <row r="15" spans="1:8" ht="30" customHeight="1" x14ac:dyDescent="0.25">
      <c r="F15" s="5" t="s">
        <v>32</v>
      </c>
      <c r="G15" s="5" t="s">
        <v>33</v>
      </c>
      <c r="H15" s="6" t="s">
        <v>34</v>
      </c>
    </row>
    <row r="16" spans="1:8" ht="30" customHeight="1" x14ac:dyDescent="0.25">
      <c r="F16" s="3" t="s">
        <v>35</v>
      </c>
      <c r="G16" s="3" t="s">
        <v>36</v>
      </c>
      <c r="H16" s="4" t="s">
        <v>37</v>
      </c>
    </row>
    <row r="17" spans="1:8" ht="30" customHeight="1" x14ac:dyDescent="0.25">
      <c r="F17" s="5" t="s">
        <v>38</v>
      </c>
      <c r="G17" s="5" t="s">
        <v>36</v>
      </c>
      <c r="H17" s="6" t="s">
        <v>39</v>
      </c>
    </row>
    <row r="18" spans="1:8" ht="30" customHeight="1" x14ac:dyDescent="0.25">
      <c r="F18" s="3" t="s">
        <v>40</v>
      </c>
      <c r="G18" s="3" t="s">
        <v>41</v>
      </c>
      <c r="H18" s="4" t="s">
        <v>42</v>
      </c>
    </row>
    <row r="22" spans="1:8" x14ac:dyDescent="0.25">
      <c r="A22" s="26" t="s">
        <v>43</v>
      </c>
      <c r="B22" s="26"/>
      <c r="C22" s="26"/>
    </row>
    <row r="24" spans="1:8" ht="64.5" customHeight="1" x14ac:dyDescent="0.25">
      <c r="B24" s="7" t="s">
        <v>44</v>
      </c>
      <c r="C24" s="7"/>
      <c r="D24" s="7"/>
      <c r="E24" s="7"/>
      <c r="F24" s="7"/>
      <c r="G24" s="7"/>
      <c r="H24" s="7"/>
    </row>
    <row r="26" spans="1:8" ht="31.5" customHeight="1" x14ac:dyDescent="0.25">
      <c r="A26" s="14" t="s">
        <v>0</v>
      </c>
      <c r="B26" s="14" t="s">
        <v>1</v>
      </c>
      <c r="C26" s="14" t="s">
        <v>45</v>
      </c>
      <c r="D26" s="14" t="s">
        <v>46</v>
      </c>
      <c r="E26" s="14" t="s">
        <v>47</v>
      </c>
      <c r="F26" s="14" t="s">
        <v>48</v>
      </c>
      <c r="G26" s="14" t="s">
        <v>49</v>
      </c>
      <c r="H26" s="14" t="s">
        <v>50</v>
      </c>
    </row>
    <row r="27" spans="1:8" ht="30" customHeight="1" x14ac:dyDescent="0.25">
      <c r="A27" s="9" t="s">
        <v>3</v>
      </c>
      <c r="B27" s="9" t="s">
        <v>4</v>
      </c>
      <c r="C27" s="9">
        <v>3</v>
      </c>
      <c r="D27" s="9">
        <v>3</v>
      </c>
      <c r="E27" s="9">
        <v>5</v>
      </c>
      <c r="F27" s="9">
        <v>3</v>
      </c>
      <c r="G27" s="9">
        <v>3</v>
      </c>
      <c r="H27" s="10" t="s">
        <v>51</v>
      </c>
    </row>
    <row r="28" spans="1:8" ht="30" customHeight="1" x14ac:dyDescent="0.25">
      <c r="A28" s="11" t="s">
        <v>6</v>
      </c>
      <c r="B28" s="11" t="s">
        <v>4</v>
      </c>
      <c r="C28" s="11">
        <v>2</v>
      </c>
      <c r="D28" s="11">
        <v>3</v>
      </c>
      <c r="E28" s="11">
        <v>3</v>
      </c>
      <c r="F28" s="11">
        <v>2</v>
      </c>
      <c r="G28" s="11">
        <v>3</v>
      </c>
      <c r="H28" s="12" t="s">
        <v>54</v>
      </c>
    </row>
    <row r="29" spans="1:8" ht="30" customHeight="1" x14ac:dyDescent="0.25">
      <c r="A29" s="9" t="s">
        <v>8</v>
      </c>
      <c r="B29" s="9" t="s">
        <v>9</v>
      </c>
      <c r="C29" s="9">
        <v>5</v>
      </c>
      <c r="D29" s="9">
        <v>5</v>
      </c>
      <c r="E29" s="9">
        <v>8</v>
      </c>
      <c r="F29" s="9">
        <v>5</v>
      </c>
      <c r="G29" s="9">
        <v>5</v>
      </c>
      <c r="H29" s="10" t="s">
        <v>55</v>
      </c>
    </row>
    <row r="30" spans="1:8" ht="30" customHeight="1" x14ac:dyDescent="0.25">
      <c r="A30" s="11" t="s">
        <v>11</v>
      </c>
      <c r="B30" s="11" t="s">
        <v>12</v>
      </c>
      <c r="C30" s="11">
        <v>5</v>
      </c>
      <c r="D30" s="11">
        <v>8</v>
      </c>
      <c r="E30" s="11">
        <v>8</v>
      </c>
      <c r="F30" s="11">
        <v>5</v>
      </c>
      <c r="G30" s="11">
        <v>8</v>
      </c>
      <c r="H30" s="12" t="s">
        <v>56</v>
      </c>
    </row>
    <row r="31" spans="1:8" ht="30" customHeight="1" x14ac:dyDescent="0.25">
      <c r="A31" s="9" t="s">
        <v>14</v>
      </c>
      <c r="B31" s="9" t="s">
        <v>12</v>
      </c>
      <c r="C31" s="9">
        <v>3</v>
      </c>
      <c r="D31" s="9">
        <v>5</v>
      </c>
      <c r="E31" s="9">
        <v>5</v>
      </c>
      <c r="F31" s="9">
        <v>5</v>
      </c>
      <c r="G31" s="9">
        <v>5</v>
      </c>
      <c r="H31" s="10" t="s">
        <v>52</v>
      </c>
    </row>
    <row r="32" spans="1:8" ht="30" customHeight="1" x14ac:dyDescent="0.25">
      <c r="A32" s="11" t="s">
        <v>16</v>
      </c>
      <c r="B32" s="11" t="s">
        <v>12</v>
      </c>
      <c r="C32" s="11">
        <v>5</v>
      </c>
      <c r="D32" s="11">
        <v>5</v>
      </c>
      <c r="E32" s="11">
        <v>8</v>
      </c>
      <c r="F32" s="11">
        <v>5</v>
      </c>
      <c r="G32" s="11">
        <v>5</v>
      </c>
      <c r="H32" s="12" t="s">
        <v>57</v>
      </c>
    </row>
    <row r="33" spans="1:8" ht="30.75" customHeight="1" x14ac:dyDescent="0.25">
      <c r="A33" s="9" t="s">
        <v>18</v>
      </c>
      <c r="B33" s="9" t="s">
        <v>9</v>
      </c>
      <c r="C33" s="9">
        <v>5</v>
      </c>
      <c r="D33" s="9">
        <v>8</v>
      </c>
      <c r="E33" s="9">
        <v>8</v>
      </c>
      <c r="F33" s="9">
        <v>8</v>
      </c>
      <c r="G33" s="9">
        <v>8</v>
      </c>
      <c r="H33" s="10" t="s">
        <v>58</v>
      </c>
    </row>
    <row r="34" spans="1:8" ht="30" customHeight="1" x14ac:dyDescent="0.25">
      <c r="A34" s="11" t="s">
        <v>20</v>
      </c>
      <c r="B34" s="11" t="s">
        <v>21</v>
      </c>
      <c r="C34" s="11">
        <v>3</v>
      </c>
      <c r="D34" s="11">
        <v>5</v>
      </c>
      <c r="E34" s="11">
        <v>5</v>
      </c>
      <c r="F34" s="11">
        <v>3</v>
      </c>
      <c r="G34" s="11">
        <v>5</v>
      </c>
      <c r="H34" s="12" t="s">
        <v>59</v>
      </c>
    </row>
    <row r="35" spans="1:8" ht="30" customHeight="1" x14ac:dyDescent="0.25">
      <c r="A35" s="9" t="s">
        <v>23</v>
      </c>
      <c r="B35" s="9" t="s">
        <v>24</v>
      </c>
      <c r="C35" s="9">
        <v>5</v>
      </c>
      <c r="D35" s="9">
        <v>8</v>
      </c>
      <c r="E35" s="9">
        <v>8</v>
      </c>
      <c r="F35" s="9">
        <v>8</v>
      </c>
      <c r="G35" s="9">
        <v>8</v>
      </c>
      <c r="H35" s="10" t="s">
        <v>60</v>
      </c>
    </row>
    <row r="36" spans="1:8" ht="30" customHeight="1" x14ac:dyDescent="0.25">
      <c r="A36" s="11" t="s">
        <v>26</v>
      </c>
      <c r="B36" s="11" t="s">
        <v>27</v>
      </c>
      <c r="C36" s="11">
        <v>3</v>
      </c>
      <c r="D36" s="11">
        <v>5</v>
      </c>
      <c r="E36" s="11">
        <v>5</v>
      </c>
      <c r="F36" s="11">
        <v>3</v>
      </c>
      <c r="G36" s="11">
        <v>5</v>
      </c>
      <c r="H36" s="12" t="s">
        <v>61</v>
      </c>
    </row>
    <row r="37" spans="1:8" ht="29.25" customHeight="1" x14ac:dyDescent="0.25">
      <c r="A37" s="9" t="s">
        <v>29</v>
      </c>
      <c r="B37" s="9" t="s">
        <v>30</v>
      </c>
      <c r="C37" s="9">
        <v>5</v>
      </c>
      <c r="D37" s="9">
        <v>8</v>
      </c>
      <c r="E37" s="9">
        <v>8</v>
      </c>
      <c r="F37" s="9">
        <v>8</v>
      </c>
      <c r="G37" s="9">
        <v>8</v>
      </c>
      <c r="H37" s="10" t="s">
        <v>62</v>
      </c>
    </row>
    <row r="38" spans="1:8" ht="30" customHeight="1" x14ac:dyDescent="0.25">
      <c r="A38" s="11" t="s">
        <v>32</v>
      </c>
      <c r="B38" s="11" t="s">
        <v>33</v>
      </c>
      <c r="C38" s="11">
        <v>5</v>
      </c>
      <c r="D38" s="11">
        <v>5</v>
      </c>
      <c r="E38" s="11">
        <v>8</v>
      </c>
      <c r="F38" s="11">
        <v>5</v>
      </c>
      <c r="G38" s="11">
        <v>5</v>
      </c>
      <c r="H38" s="12" t="s">
        <v>63</v>
      </c>
    </row>
    <row r="39" spans="1:8" ht="30" customHeight="1" x14ac:dyDescent="0.25">
      <c r="A39" s="9" t="s">
        <v>35</v>
      </c>
      <c r="B39" s="9" t="s">
        <v>36</v>
      </c>
      <c r="C39" s="9">
        <v>5</v>
      </c>
      <c r="D39" s="9">
        <v>8</v>
      </c>
      <c r="E39" s="9">
        <v>8</v>
      </c>
      <c r="F39" s="9">
        <v>8</v>
      </c>
      <c r="G39" s="9">
        <v>8</v>
      </c>
      <c r="H39" s="10" t="s">
        <v>64</v>
      </c>
    </row>
    <row r="40" spans="1:8" ht="30" customHeight="1" x14ac:dyDescent="0.25">
      <c r="A40" s="11" t="s">
        <v>38</v>
      </c>
      <c r="B40" s="11" t="s">
        <v>36</v>
      </c>
      <c r="C40" s="11">
        <v>5</v>
      </c>
      <c r="D40" s="11">
        <v>8</v>
      </c>
      <c r="E40" s="11">
        <v>8</v>
      </c>
      <c r="F40" s="11">
        <v>5</v>
      </c>
      <c r="G40" s="11">
        <v>8</v>
      </c>
      <c r="H40" s="12" t="s">
        <v>53</v>
      </c>
    </row>
    <row r="41" spans="1:8" ht="30" customHeight="1" x14ac:dyDescent="0.25">
      <c r="A41" s="9" t="s">
        <v>40</v>
      </c>
      <c r="B41" s="9" t="s">
        <v>41</v>
      </c>
      <c r="C41" s="9">
        <v>5</v>
      </c>
      <c r="D41" s="9">
        <v>8</v>
      </c>
      <c r="E41" s="9">
        <v>8</v>
      </c>
      <c r="F41" s="9">
        <v>8</v>
      </c>
      <c r="G41" s="9">
        <v>8</v>
      </c>
      <c r="H41" s="10" t="s">
        <v>65</v>
      </c>
    </row>
    <row r="42" spans="1:8" x14ac:dyDescent="0.25">
      <c r="G42" s="13">
        <f>SUM(G27:G41)</f>
        <v>92</v>
      </c>
    </row>
  </sheetData>
  <mergeCells count="3">
    <mergeCell ref="A1:E1"/>
    <mergeCell ref="A22:C22"/>
    <mergeCell ref="B24:H2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6157-2705-4DA1-BF57-02CA6D548E08}">
  <dimension ref="A1:J34"/>
  <sheetViews>
    <sheetView zoomScaleNormal="100" workbookViewId="0">
      <selection activeCell="E34" sqref="E34"/>
    </sheetView>
  </sheetViews>
  <sheetFormatPr baseColWidth="10" defaultRowHeight="15" x14ac:dyDescent="0.25"/>
  <cols>
    <col min="2" max="2" width="16.85546875" bestFit="1" customWidth="1"/>
    <col min="3" max="3" width="36.85546875" bestFit="1" customWidth="1"/>
    <col min="7" max="7" width="14.5703125" customWidth="1"/>
    <col min="10" max="10" width="18.5703125" customWidth="1"/>
  </cols>
  <sheetData>
    <row r="1" spans="1:10" x14ac:dyDescent="0.25">
      <c r="A1" s="15" t="s">
        <v>104</v>
      </c>
    </row>
    <row r="3" spans="1:10" x14ac:dyDescent="0.25">
      <c r="B3" s="27" t="s">
        <v>105</v>
      </c>
      <c r="C3" s="27" t="s">
        <v>106</v>
      </c>
    </row>
    <row r="4" spans="1:10" x14ac:dyDescent="0.25">
      <c r="B4" s="28" t="s">
        <v>107</v>
      </c>
      <c r="C4" s="28" t="s">
        <v>108</v>
      </c>
    </row>
    <row r="5" spans="1:10" x14ac:dyDescent="0.25">
      <c r="B5" s="28" t="s">
        <v>109</v>
      </c>
      <c r="C5" s="28" t="s">
        <v>110</v>
      </c>
    </row>
    <row r="6" spans="1:10" x14ac:dyDescent="0.25">
      <c r="B6" s="28" t="s">
        <v>111</v>
      </c>
      <c r="C6" s="28" t="s">
        <v>112</v>
      </c>
    </row>
    <row r="7" spans="1:10" x14ac:dyDescent="0.25">
      <c r="B7" s="28" t="s">
        <v>113</v>
      </c>
      <c r="C7" s="28" t="s">
        <v>114</v>
      </c>
    </row>
    <row r="8" spans="1:10" x14ac:dyDescent="0.25">
      <c r="B8" s="28" t="s">
        <v>115</v>
      </c>
      <c r="C8" s="28" t="s">
        <v>116</v>
      </c>
    </row>
    <row r="9" spans="1:10" x14ac:dyDescent="0.25">
      <c r="B9" s="28"/>
      <c r="C9" s="28"/>
    </row>
    <row r="10" spans="1:10" x14ac:dyDescent="0.25">
      <c r="B10" s="28" t="s">
        <v>117</v>
      </c>
      <c r="C10" s="28"/>
    </row>
    <row r="11" spans="1:10" x14ac:dyDescent="0.25">
      <c r="B11" s="28" t="s">
        <v>118</v>
      </c>
      <c r="C11" s="28"/>
    </row>
    <row r="13" spans="1:10" ht="25.5" x14ac:dyDescent="0.25">
      <c r="B13" s="29" t="s">
        <v>0</v>
      </c>
      <c r="C13" s="29" t="s">
        <v>119</v>
      </c>
      <c r="D13" s="29" t="s">
        <v>107</v>
      </c>
      <c r="E13" s="29" t="s">
        <v>109</v>
      </c>
      <c r="F13" s="29" t="s">
        <v>111</v>
      </c>
      <c r="G13" s="29" t="s">
        <v>127</v>
      </c>
      <c r="H13" s="29" t="s">
        <v>113</v>
      </c>
      <c r="I13" s="29" t="s">
        <v>115</v>
      </c>
      <c r="J13" s="29" t="s">
        <v>128</v>
      </c>
    </row>
    <row r="14" spans="1:10" x14ac:dyDescent="0.25">
      <c r="B14" s="30" t="s">
        <v>3</v>
      </c>
      <c r="C14" s="30" t="s">
        <v>80</v>
      </c>
      <c r="D14" s="30">
        <v>4</v>
      </c>
      <c r="E14" s="30">
        <v>6</v>
      </c>
      <c r="F14" s="30">
        <v>10</v>
      </c>
      <c r="G14" s="32">
        <f t="shared" ref="G14:G28" si="0">(D14+4*E14+F14)/6</f>
        <v>6.333333333333333</v>
      </c>
      <c r="H14" s="32">
        <f t="shared" ref="H14:H28" si="1">(D14+4*E14+F14)/6</f>
        <v>6.333333333333333</v>
      </c>
      <c r="I14" s="30">
        <f t="shared" ref="I14:I28" si="2">(F14-D14)/6</f>
        <v>1</v>
      </c>
      <c r="J14" s="30" t="str">
        <f t="shared" ref="J14:J28" si="3">ROUND(H14-I14,2)&amp;" a "&amp;ROUND(H14+I14,2)&amp;" horas"</f>
        <v>5,33 a 7,33 horas</v>
      </c>
    </row>
    <row r="15" spans="1:10" x14ac:dyDescent="0.25">
      <c r="B15" s="23" t="s">
        <v>6</v>
      </c>
      <c r="C15" s="31" t="s">
        <v>82</v>
      </c>
      <c r="D15" s="23">
        <v>3</v>
      </c>
      <c r="E15" s="23">
        <v>5</v>
      </c>
      <c r="F15" s="23">
        <v>9</v>
      </c>
      <c r="G15" s="39">
        <f t="shared" si="0"/>
        <v>5.333333333333333</v>
      </c>
      <c r="H15" s="39">
        <f t="shared" si="1"/>
        <v>5.333333333333333</v>
      </c>
      <c r="I15" s="23">
        <f t="shared" si="2"/>
        <v>1</v>
      </c>
      <c r="J15" s="23" t="str">
        <f t="shared" si="3"/>
        <v>4,33 a 6,33 horas</v>
      </c>
    </row>
    <row r="16" spans="1:10" x14ac:dyDescent="0.25">
      <c r="B16" s="30" t="s">
        <v>8</v>
      </c>
      <c r="C16" s="30" t="s">
        <v>83</v>
      </c>
      <c r="D16" s="30">
        <v>8</v>
      </c>
      <c r="E16" s="30">
        <v>14</v>
      </c>
      <c r="F16" s="30">
        <v>22</v>
      </c>
      <c r="G16" s="32">
        <f t="shared" si="0"/>
        <v>14.333333333333334</v>
      </c>
      <c r="H16" s="32">
        <f t="shared" si="1"/>
        <v>14.333333333333334</v>
      </c>
      <c r="I16" s="33">
        <f t="shared" si="2"/>
        <v>2.3333333333333335</v>
      </c>
      <c r="J16" s="30" t="str">
        <f t="shared" si="3"/>
        <v>12 a 16,67 horas</v>
      </c>
    </row>
    <row r="17" spans="2:10" x14ac:dyDescent="0.25">
      <c r="B17" s="23" t="s">
        <v>11</v>
      </c>
      <c r="C17" s="31" t="s">
        <v>129</v>
      </c>
      <c r="D17" s="23">
        <v>14</v>
      </c>
      <c r="E17" s="23">
        <v>22</v>
      </c>
      <c r="F17" s="23">
        <v>34</v>
      </c>
      <c r="G17" s="39">
        <f t="shared" si="0"/>
        <v>22.666666666666668</v>
      </c>
      <c r="H17" s="39">
        <f t="shared" si="1"/>
        <v>22.666666666666668</v>
      </c>
      <c r="I17" s="34">
        <f t="shared" si="2"/>
        <v>3.3333333333333335</v>
      </c>
      <c r="J17" s="23" t="str">
        <f t="shared" si="3"/>
        <v>19,33 a 26 horas</v>
      </c>
    </row>
    <row r="18" spans="2:10" x14ac:dyDescent="0.25">
      <c r="B18" s="30" t="s">
        <v>14</v>
      </c>
      <c r="C18" s="30" t="s">
        <v>87</v>
      </c>
      <c r="D18" s="30">
        <v>6</v>
      </c>
      <c r="E18" s="30">
        <v>12</v>
      </c>
      <c r="F18" s="30">
        <v>20</v>
      </c>
      <c r="G18" s="32">
        <f t="shared" si="0"/>
        <v>12.333333333333334</v>
      </c>
      <c r="H18" s="32">
        <f t="shared" si="1"/>
        <v>12.333333333333334</v>
      </c>
      <c r="I18" s="33">
        <f t="shared" si="2"/>
        <v>2.3333333333333335</v>
      </c>
      <c r="J18" s="30" t="str">
        <f t="shared" si="3"/>
        <v>10 a 14,67 horas</v>
      </c>
    </row>
    <row r="19" spans="2:10" x14ac:dyDescent="0.25">
      <c r="B19" s="23" t="s">
        <v>16</v>
      </c>
      <c r="C19" s="31" t="s">
        <v>130</v>
      </c>
      <c r="D19" s="23">
        <v>7</v>
      </c>
      <c r="E19" s="23">
        <v>13</v>
      </c>
      <c r="F19" s="23">
        <v>21</v>
      </c>
      <c r="G19" s="39">
        <f t="shared" si="0"/>
        <v>13.333333333333334</v>
      </c>
      <c r="H19" s="39">
        <f t="shared" si="1"/>
        <v>13.333333333333334</v>
      </c>
      <c r="I19" s="34">
        <f t="shared" si="2"/>
        <v>2.3333333333333335</v>
      </c>
      <c r="J19" s="23" t="str">
        <f t="shared" si="3"/>
        <v>11 a 15,67 horas</v>
      </c>
    </row>
    <row r="20" spans="2:10" x14ac:dyDescent="0.25">
      <c r="B20" s="30" t="s">
        <v>18</v>
      </c>
      <c r="C20" s="30" t="s">
        <v>131</v>
      </c>
      <c r="D20" s="30">
        <v>12</v>
      </c>
      <c r="E20" s="30">
        <v>20</v>
      </c>
      <c r="F20" s="30">
        <v>32</v>
      </c>
      <c r="G20" s="32">
        <f t="shared" si="0"/>
        <v>20.666666666666668</v>
      </c>
      <c r="H20" s="32">
        <f t="shared" si="1"/>
        <v>20.666666666666668</v>
      </c>
      <c r="I20" s="33">
        <f t="shared" si="2"/>
        <v>3.3333333333333335</v>
      </c>
      <c r="J20" s="30" t="str">
        <f t="shared" si="3"/>
        <v>17,33 a 24 horas</v>
      </c>
    </row>
    <row r="21" spans="2:10" x14ac:dyDescent="0.25">
      <c r="B21" s="23" t="s">
        <v>20</v>
      </c>
      <c r="C21" s="31" t="s">
        <v>92</v>
      </c>
      <c r="D21" s="23">
        <v>6</v>
      </c>
      <c r="E21" s="23">
        <v>11</v>
      </c>
      <c r="F21" s="23">
        <v>18</v>
      </c>
      <c r="G21" s="39">
        <f t="shared" si="0"/>
        <v>11.333333333333334</v>
      </c>
      <c r="H21" s="39">
        <f t="shared" si="1"/>
        <v>11.333333333333334</v>
      </c>
      <c r="I21" s="34">
        <f t="shared" si="2"/>
        <v>2</v>
      </c>
      <c r="J21" s="23" t="str">
        <f t="shared" si="3"/>
        <v>9,33 a 13,33 horas</v>
      </c>
    </row>
    <row r="22" spans="2:10" x14ac:dyDescent="0.25">
      <c r="B22" s="30" t="s">
        <v>23</v>
      </c>
      <c r="C22" s="30" t="s">
        <v>94</v>
      </c>
      <c r="D22" s="30">
        <v>14</v>
      </c>
      <c r="E22" s="30">
        <v>22</v>
      </c>
      <c r="F22" s="30">
        <v>36</v>
      </c>
      <c r="G22" s="32">
        <f t="shared" si="0"/>
        <v>23</v>
      </c>
      <c r="H22" s="32">
        <f t="shared" si="1"/>
        <v>23</v>
      </c>
      <c r="I22" s="33">
        <f t="shared" si="2"/>
        <v>3.6666666666666665</v>
      </c>
      <c r="J22" s="30" t="str">
        <f t="shared" si="3"/>
        <v>19,33 a 26,67 horas</v>
      </c>
    </row>
    <row r="23" spans="2:10" x14ac:dyDescent="0.25">
      <c r="B23" s="23" t="s">
        <v>26</v>
      </c>
      <c r="C23" s="31" t="s">
        <v>96</v>
      </c>
      <c r="D23" s="23">
        <v>7</v>
      </c>
      <c r="E23" s="23">
        <v>12</v>
      </c>
      <c r="F23" s="23">
        <v>19</v>
      </c>
      <c r="G23" s="39">
        <f t="shared" si="0"/>
        <v>12.333333333333334</v>
      </c>
      <c r="H23" s="39">
        <f t="shared" si="1"/>
        <v>12.333333333333334</v>
      </c>
      <c r="I23" s="34">
        <f t="shared" si="2"/>
        <v>2</v>
      </c>
      <c r="J23" s="23" t="str">
        <f t="shared" si="3"/>
        <v>10,33 a 14,33 horas</v>
      </c>
    </row>
    <row r="24" spans="2:10" x14ac:dyDescent="0.25">
      <c r="B24" s="30" t="s">
        <v>29</v>
      </c>
      <c r="C24" s="30" t="s">
        <v>98</v>
      </c>
      <c r="D24" s="30">
        <v>13</v>
      </c>
      <c r="E24" s="30">
        <v>21</v>
      </c>
      <c r="F24" s="30">
        <v>33</v>
      </c>
      <c r="G24" s="32">
        <f t="shared" si="0"/>
        <v>21.666666666666668</v>
      </c>
      <c r="H24" s="32">
        <f t="shared" si="1"/>
        <v>21.666666666666668</v>
      </c>
      <c r="I24" s="33">
        <f t="shared" si="2"/>
        <v>3.3333333333333335</v>
      </c>
      <c r="J24" s="30" t="str">
        <f t="shared" si="3"/>
        <v>18,33 a 25 horas</v>
      </c>
    </row>
    <row r="25" spans="2:10" x14ac:dyDescent="0.25">
      <c r="B25" s="23" t="s">
        <v>32</v>
      </c>
      <c r="C25" s="31" t="s">
        <v>84</v>
      </c>
      <c r="D25" s="23">
        <v>6</v>
      </c>
      <c r="E25" s="23">
        <v>11</v>
      </c>
      <c r="F25" s="23">
        <v>18</v>
      </c>
      <c r="G25" s="39">
        <f t="shared" si="0"/>
        <v>11.333333333333334</v>
      </c>
      <c r="H25" s="39">
        <f t="shared" si="1"/>
        <v>11.333333333333334</v>
      </c>
      <c r="I25" s="34">
        <f t="shared" si="2"/>
        <v>2</v>
      </c>
      <c r="J25" s="23" t="str">
        <f t="shared" si="3"/>
        <v>9,33 a 13,33 horas</v>
      </c>
    </row>
    <row r="26" spans="2:10" x14ac:dyDescent="0.25">
      <c r="B26" s="30" t="s">
        <v>35</v>
      </c>
      <c r="C26" s="30" t="s">
        <v>132</v>
      </c>
      <c r="D26" s="30">
        <v>14</v>
      </c>
      <c r="E26" s="30">
        <v>22</v>
      </c>
      <c r="F26" s="30">
        <v>34</v>
      </c>
      <c r="G26" s="32">
        <f t="shared" si="0"/>
        <v>22.666666666666668</v>
      </c>
      <c r="H26" s="32">
        <f t="shared" si="1"/>
        <v>22.666666666666668</v>
      </c>
      <c r="I26" s="33">
        <f t="shared" si="2"/>
        <v>3.3333333333333335</v>
      </c>
      <c r="J26" s="30" t="str">
        <f t="shared" si="3"/>
        <v>19,33 a 26 horas</v>
      </c>
    </row>
    <row r="27" spans="2:10" x14ac:dyDescent="0.25">
      <c r="B27" s="23" t="s">
        <v>38</v>
      </c>
      <c r="C27" s="31" t="s">
        <v>133</v>
      </c>
      <c r="D27" s="23">
        <v>13</v>
      </c>
      <c r="E27" s="23">
        <v>21</v>
      </c>
      <c r="F27" s="23">
        <v>33</v>
      </c>
      <c r="G27" s="39">
        <f t="shared" si="0"/>
        <v>21.666666666666668</v>
      </c>
      <c r="H27" s="39">
        <f t="shared" si="1"/>
        <v>21.666666666666668</v>
      </c>
      <c r="I27" s="34">
        <f t="shared" si="2"/>
        <v>3.3333333333333335</v>
      </c>
      <c r="J27" s="23" t="str">
        <f t="shared" si="3"/>
        <v>18,33 a 25 horas</v>
      </c>
    </row>
    <row r="28" spans="2:10" x14ac:dyDescent="0.25">
      <c r="B28" s="30" t="s">
        <v>40</v>
      </c>
      <c r="C28" s="30" t="s">
        <v>101</v>
      </c>
      <c r="D28" s="30">
        <v>14</v>
      </c>
      <c r="E28" s="30">
        <v>23</v>
      </c>
      <c r="F28" s="30">
        <v>36</v>
      </c>
      <c r="G28" s="32">
        <f t="shared" si="0"/>
        <v>23.666666666666668</v>
      </c>
      <c r="H28" s="32">
        <f t="shared" si="1"/>
        <v>23.666666666666668</v>
      </c>
      <c r="I28" s="33">
        <f t="shared" si="2"/>
        <v>3.6666666666666665</v>
      </c>
      <c r="J28" s="30" t="str">
        <f t="shared" si="3"/>
        <v>20 a 27,33 horas</v>
      </c>
    </row>
    <row r="29" spans="2:10" x14ac:dyDescent="0.25">
      <c r="B29" s="29" t="s">
        <v>120</v>
      </c>
      <c r="C29" s="29"/>
      <c r="D29" s="29">
        <f>SUM(D14:D28)</f>
        <v>141</v>
      </c>
      <c r="E29" s="29">
        <f>SUM(E14:E28)</f>
        <v>235</v>
      </c>
      <c r="F29" s="29">
        <f>SUM(F14:F28)</f>
        <v>375</v>
      </c>
      <c r="G29" s="29"/>
      <c r="H29" s="35">
        <f>SUM(H14:H28)</f>
        <v>242.66666666666666</v>
      </c>
      <c r="I29" s="29">
        <f>SUM(I14:I28)</f>
        <v>39.000000000000007</v>
      </c>
      <c r="J29" s="29"/>
    </row>
    <row r="31" spans="2:10" x14ac:dyDescent="0.25">
      <c r="B31" s="29" t="s">
        <v>134</v>
      </c>
      <c r="C31" s="29" t="s">
        <v>121</v>
      </c>
      <c r="D31" s="29" t="s">
        <v>122</v>
      </c>
    </row>
    <row r="32" spans="2:10" x14ac:dyDescent="0.25">
      <c r="B32" s="36" t="s">
        <v>123</v>
      </c>
      <c r="C32" s="38">
        <f>H29</f>
        <v>242.66666666666666</v>
      </c>
      <c r="D32" s="37" t="s">
        <v>124</v>
      </c>
    </row>
    <row r="33" spans="2:4" x14ac:dyDescent="0.25">
      <c r="B33" s="36" t="s">
        <v>135</v>
      </c>
      <c r="C33" s="37">
        <f>ROUND(H29/8,2)</f>
        <v>30.33</v>
      </c>
      <c r="D33" s="37" t="s">
        <v>136</v>
      </c>
    </row>
    <row r="34" spans="2:4" ht="24" x14ac:dyDescent="0.25">
      <c r="B34" s="36" t="s">
        <v>125</v>
      </c>
      <c r="C34" s="37">
        <f>ROUND(H29/40,2)</f>
        <v>6.07</v>
      </c>
      <c r="D34" s="37" t="s">
        <v>126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EC09-9AD3-4E7E-ABE4-C9DFA6BDCF71}">
  <dimension ref="A3:F47"/>
  <sheetViews>
    <sheetView tabSelected="1" topLeftCell="A19" workbookViewId="0">
      <selection activeCell="G12" sqref="G12"/>
    </sheetView>
  </sheetViews>
  <sheetFormatPr baseColWidth="10" defaultRowHeight="15" x14ac:dyDescent="0.25"/>
  <cols>
    <col min="1" max="1" width="14" bestFit="1" customWidth="1"/>
    <col min="2" max="2" width="13.7109375" customWidth="1"/>
    <col min="3" max="3" width="26.140625" customWidth="1"/>
    <col min="4" max="4" width="15" customWidth="1"/>
    <col min="5" max="5" width="16" customWidth="1"/>
  </cols>
  <sheetData>
    <row r="3" spans="1:6" x14ac:dyDescent="0.25">
      <c r="A3" s="15" t="s">
        <v>66</v>
      </c>
      <c r="D3" s="1" t="s">
        <v>153</v>
      </c>
      <c r="E3" s="1"/>
    </row>
    <row r="5" spans="1:6" x14ac:dyDescent="0.25">
      <c r="B5" s="8" t="s">
        <v>67</v>
      </c>
      <c r="C5" s="16" t="s">
        <v>68</v>
      </c>
      <c r="D5" s="16"/>
      <c r="E5" s="16"/>
      <c r="F5" s="16"/>
    </row>
    <row r="6" spans="1:6" x14ac:dyDescent="0.25">
      <c r="B6" s="17" t="s">
        <v>69</v>
      </c>
      <c r="C6" s="21">
        <v>92</v>
      </c>
      <c r="D6" s="18"/>
      <c r="E6" s="18"/>
      <c r="F6" s="18"/>
    </row>
    <row r="7" spans="1:6" ht="24" x14ac:dyDescent="0.25">
      <c r="B7" s="19" t="s">
        <v>70</v>
      </c>
      <c r="C7" s="20" t="s">
        <v>71</v>
      </c>
      <c r="D7" s="20"/>
      <c r="E7" s="20"/>
      <c r="F7" s="20"/>
    </row>
    <row r="8" spans="1:6" ht="24" x14ac:dyDescent="0.25">
      <c r="B8" s="17" t="s">
        <v>72</v>
      </c>
      <c r="C8" s="18" t="s">
        <v>73</v>
      </c>
      <c r="D8" s="18"/>
      <c r="E8" s="18"/>
      <c r="F8" s="18"/>
    </row>
    <row r="9" spans="1:6" ht="24" x14ac:dyDescent="0.25">
      <c r="B9" s="19" t="s">
        <v>74</v>
      </c>
      <c r="C9" s="22">
        <v>5</v>
      </c>
      <c r="D9" s="20"/>
      <c r="E9" s="20"/>
      <c r="F9" s="20"/>
    </row>
    <row r="10" spans="1:6" x14ac:dyDescent="0.25">
      <c r="B10" s="17" t="s">
        <v>75</v>
      </c>
      <c r="C10" s="21">
        <f>C6/C9</f>
        <v>18.399999999999999</v>
      </c>
      <c r="D10" s="18"/>
      <c r="E10" s="18"/>
      <c r="F10" s="18"/>
    </row>
    <row r="13" spans="1:6" x14ac:dyDescent="0.25">
      <c r="A13" s="15" t="s">
        <v>76</v>
      </c>
    </row>
    <row r="15" spans="1:6" x14ac:dyDescent="0.25">
      <c r="B15" s="8" t="s">
        <v>0</v>
      </c>
      <c r="C15" s="8" t="s">
        <v>77</v>
      </c>
      <c r="D15" s="8" t="s">
        <v>78</v>
      </c>
      <c r="E15" s="8" t="s">
        <v>79</v>
      </c>
    </row>
    <row r="16" spans="1:6" x14ac:dyDescent="0.25">
      <c r="B16" s="9" t="s">
        <v>3</v>
      </c>
      <c r="C16" s="9" t="s">
        <v>80</v>
      </c>
      <c r="D16" s="9">
        <v>3</v>
      </c>
      <c r="E16" s="9" t="s">
        <v>81</v>
      </c>
    </row>
    <row r="17" spans="2:5" x14ac:dyDescent="0.25">
      <c r="B17" s="11" t="s">
        <v>6</v>
      </c>
      <c r="C17" s="11" t="s">
        <v>82</v>
      </c>
      <c r="D17" s="11">
        <v>3</v>
      </c>
      <c r="E17" s="11" t="s">
        <v>141</v>
      </c>
    </row>
    <row r="18" spans="2:5" x14ac:dyDescent="0.25">
      <c r="B18" s="9" t="s">
        <v>8</v>
      </c>
      <c r="C18" s="9" t="s">
        <v>83</v>
      </c>
      <c r="D18" s="9">
        <v>5</v>
      </c>
      <c r="E18" s="9" t="s">
        <v>142</v>
      </c>
    </row>
    <row r="19" spans="2:5" ht="24" x14ac:dyDescent="0.25">
      <c r="B19" s="11" t="s">
        <v>23</v>
      </c>
      <c r="C19" s="11" t="s">
        <v>94</v>
      </c>
      <c r="D19" s="11">
        <v>8</v>
      </c>
      <c r="E19" s="11" t="s">
        <v>137</v>
      </c>
    </row>
    <row r="20" spans="2:5" x14ac:dyDescent="0.25">
      <c r="B20" s="24" t="s">
        <v>85</v>
      </c>
      <c r="C20" s="25"/>
      <c r="D20" s="25" t="s">
        <v>143</v>
      </c>
      <c r="E20" s="25" t="s">
        <v>144</v>
      </c>
    </row>
    <row r="22" spans="2:5" x14ac:dyDescent="0.25">
      <c r="B22" s="40"/>
      <c r="C22" s="40"/>
      <c r="D22" s="40"/>
      <c r="E22" s="40"/>
    </row>
    <row r="23" spans="2:5" x14ac:dyDescent="0.25">
      <c r="B23" s="8" t="s">
        <v>0</v>
      </c>
      <c r="C23" s="8" t="s">
        <v>77</v>
      </c>
      <c r="D23" s="8" t="s">
        <v>78</v>
      </c>
      <c r="E23" s="8" t="s">
        <v>79</v>
      </c>
    </row>
    <row r="24" spans="2:5" ht="24" x14ac:dyDescent="0.25">
      <c r="B24" s="9" t="s">
        <v>11</v>
      </c>
      <c r="C24" s="9" t="s">
        <v>86</v>
      </c>
      <c r="D24" s="9">
        <v>8</v>
      </c>
      <c r="E24" s="9" t="s">
        <v>138</v>
      </c>
    </row>
    <row r="25" spans="2:5" x14ac:dyDescent="0.25">
      <c r="B25" s="11" t="s">
        <v>14</v>
      </c>
      <c r="C25" s="11" t="s">
        <v>87</v>
      </c>
      <c r="D25" s="11">
        <v>5</v>
      </c>
      <c r="E25" s="11" t="s">
        <v>97</v>
      </c>
    </row>
    <row r="26" spans="2:5" x14ac:dyDescent="0.25">
      <c r="B26" s="9" t="s">
        <v>16</v>
      </c>
      <c r="C26" s="9" t="s">
        <v>130</v>
      </c>
      <c r="D26" s="9">
        <v>5</v>
      </c>
      <c r="E26" s="9" t="s">
        <v>88</v>
      </c>
    </row>
    <row r="27" spans="2:5" x14ac:dyDescent="0.25">
      <c r="B27" s="24" t="s">
        <v>89</v>
      </c>
      <c r="C27" s="25"/>
      <c r="D27" s="25" t="s">
        <v>90</v>
      </c>
      <c r="E27" s="25" t="s">
        <v>145</v>
      </c>
    </row>
    <row r="29" spans="2:5" x14ac:dyDescent="0.25">
      <c r="B29" s="40"/>
      <c r="C29" s="40"/>
      <c r="D29" s="40"/>
      <c r="E29" s="40"/>
    </row>
    <row r="30" spans="2:5" x14ac:dyDescent="0.25">
      <c r="B30" s="8" t="s">
        <v>0</v>
      </c>
      <c r="C30" s="8" t="s">
        <v>77</v>
      </c>
      <c r="D30" s="8" t="s">
        <v>78</v>
      </c>
      <c r="E30" s="8" t="s">
        <v>79</v>
      </c>
    </row>
    <row r="31" spans="2:5" ht="24" x14ac:dyDescent="0.25">
      <c r="B31" s="9" t="s">
        <v>18</v>
      </c>
      <c r="C31" s="9" t="s">
        <v>91</v>
      </c>
      <c r="D31" s="9">
        <v>8</v>
      </c>
      <c r="E31" s="9" t="s">
        <v>100</v>
      </c>
    </row>
    <row r="32" spans="2:5" ht="24" x14ac:dyDescent="0.25">
      <c r="B32" s="11" t="s">
        <v>20</v>
      </c>
      <c r="C32" s="11" t="s">
        <v>92</v>
      </c>
      <c r="D32" s="11">
        <v>5</v>
      </c>
      <c r="E32" s="11" t="s">
        <v>93</v>
      </c>
    </row>
    <row r="33" spans="2:5" x14ac:dyDescent="0.25">
      <c r="B33" s="9" t="s">
        <v>26</v>
      </c>
      <c r="C33" s="9" t="s">
        <v>96</v>
      </c>
      <c r="D33" s="9">
        <v>5</v>
      </c>
      <c r="E33" s="9" t="s">
        <v>97</v>
      </c>
    </row>
    <row r="34" spans="2:5" x14ac:dyDescent="0.25">
      <c r="B34" s="24" t="s">
        <v>95</v>
      </c>
      <c r="C34" s="25"/>
      <c r="D34" s="25" t="s">
        <v>90</v>
      </c>
      <c r="E34" s="25" t="s">
        <v>146</v>
      </c>
    </row>
    <row r="36" spans="2:5" x14ac:dyDescent="0.25">
      <c r="B36" s="40"/>
      <c r="C36" s="40"/>
      <c r="D36" s="40"/>
      <c r="E36" s="40"/>
    </row>
    <row r="37" spans="2:5" x14ac:dyDescent="0.25">
      <c r="B37" s="8" t="s">
        <v>0</v>
      </c>
      <c r="C37" s="8" t="s">
        <v>77</v>
      </c>
      <c r="D37" s="8" t="s">
        <v>78</v>
      </c>
      <c r="E37" s="8" t="s">
        <v>79</v>
      </c>
    </row>
    <row r="38" spans="2:5" x14ac:dyDescent="0.25">
      <c r="B38" s="9" t="s">
        <v>29</v>
      </c>
      <c r="C38" s="9" t="s">
        <v>98</v>
      </c>
      <c r="D38" s="9">
        <v>8</v>
      </c>
      <c r="E38" s="9" t="s">
        <v>139</v>
      </c>
    </row>
    <row r="39" spans="2:5" ht="24" x14ac:dyDescent="0.25">
      <c r="B39" s="11" t="s">
        <v>35</v>
      </c>
      <c r="C39" s="11" t="s">
        <v>147</v>
      </c>
      <c r="D39" s="11">
        <v>8</v>
      </c>
      <c r="E39" s="11" t="s">
        <v>138</v>
      </c>
    </row>
    <row r="40" spans="2:5" ht="24" x14ac:dyDescent="0.25">
      <c r="B40" s="9" t="s">
        <v>38</v>
      </c>
      <c r="C40" s="9" t="s">
        <v>148</v>
      </c>
      <c r="D40" s="9">
        <v>8</v>
      </c>
      <c r="E40" s="9" t="s">
        <v>139</v>
      </c>
    </row>
    <row r="41" spans="2:5" x14ac:dyDescent="0.25">
      <c r="B41" s="24" t="s">
        <v>99</v>
      </c>
      <c r="C41" s="25"/>
      <c r="D41" s="25" t="s">
        <v>149</v>
      </c>
      <c r="E41" s="25" t="s">
        <v>150</v>
      </c>
    </row>
    <row r="43" spans="2:5" x14ac:dyDescent="0.25">
      <c r="B43" s="40"/>
      <c r="C43" s="40"/>
      <c r="D43" s="40"/>
      <c r="E43" s="40"/>
    </row>
    <row r="44" spans="2:5" x14ac:dyDescent="0.25">
      <c r="B44" s="8" t="s">
        <v>0</v>
      </c>
      <c r="C44" s="8" t="s">
        <v>77</v>
      </c>
      <c r="D44" s="8" t="s">
        <v>78</v>
      </c>
      <c r="E44" s="8" t="s">
        <v>79</v>
      </c>
    </row>
    <row r="45" spans="2:5" ht="24" x14ac:dyDescent="0.25">
      <c r="B45" s="9" t="s">
        <v>32</v>
      </c>
      <c r="C45" s="9" t="s">
        <v>84</v>
      </c>
      <c r="D45" s="9">
        <v>5</v>
      </c>
      <c r="E45" s="9" t="s">
        <v>93</v>
      </c>
    </row>
    <row r="46" spans="2:5" x14ac:dyDescent="0.25">
      <c r="B46" s="11" t="s">
        <v>40</v>
      </c>
      <c r="C46" s="11" t="s">
        <v>101</v>
      </c>
      <c r="D46" s="11">
        <v>8</v>
      </c>
      <c r="E46" s="11" t="s">
        <v>140</v>
      </c>
    </row>
    <row r="47" spans="2:5" x14ac:dyDescent="0.25">
      <c r="B47" s="24" t="s">
        <v>102</v>
      </c>
      <c r="C47" s="25"/>
      <c r="D47" s="25" t="s">
        <v>151</v>
      </c>
      <c r="E47" s="25" t="s">
        <v>152</v>
      </c>
    </row>
  </sheetData>
  <mergeCells count="7">
    <mergeCell ref="C10:F10"/>
    <mergeCell ref="D3:E3"/>
    <mergeCell ref="C5:F5"/>
    <mergeCell ref="C6:F6"/>
    <mergeCell ref="C7:F7"/>
    <mergeCell ref="C8:F8"/>
    <mergeCell ref="C9: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PP</vt:lpstr>
      <vt:lpstr>PERT</vt:lpstr>
      <vt:lpstr>Velocidad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QUESADA SALAZAR</dc:creator>
  <cp:lastModifiedBy>DANIEL QUESADA SALAZAR</cp:lastModifiedBy>
  <dcterms:created xsi:type="dcterms:W3CDTF">2026-06-29T00:05:00Z</dcterms:created>
  <dcterms:modified xsi:type="dcterms:W3CDTF">2026-06-29T04:13:15Z</dcterms:modified>
</cp:coreProperties>
</file>